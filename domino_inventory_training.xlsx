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120" yWindow="2620" windowWidth="24120" windowHeight="12640" tabRatio="600" firstSheet="0" activeTab="0" autoFilterDateGrouping="1"/>
  </bookViews>
  <sheets>
    <sheet name="Guide" sheetId="1" state="visible" r:id="rId1"/>
    <sheet name="Suppliers" sheetId="2" state="visible" r:id="rId2"/>
    <sheet name="Inventory" sheetId="3" state="visible" r:id="rId3"/>
    <sheet name="OrderSummary" sheetId="4" state="visible" r:id="rId4"/>
    <sheet name="EmailTemplat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F1F1F"/>
      <sz val="11"/>
    </font>
    <font>
      <name val="Calibri"/>
      <color rgb="FF008000"/>
      <sz val="11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charset val="129"/>
      <family val="3"/>
      <sz val="8"/>
      <scheme val="minor"/>
    </font>
    <font>
      <name val="Calibri"/>
      <family val="2"/>
      <color theme="10"/>
      <sz val="11"/>
      <u val="single"/>
      <scheme val="minor"/>
    </font>
    <font>
      <name val="맑은 고딕"/>
      <charset val="129"/>
      <family val="3"/>
      <b val="1"/>
      <color rgb="FFFFFFFF"/>
      <sz val="14"/>
    </font>
    <font>
      <name val="Calibri"/>
      <family val="2"/>
      <b val="1"/>
      <color rgb="FFFFFFFF"/>
      <sz val="14"/>
    </font>
    <font>
      <name val="Calibri"/>
      <charset val="129"/>
      <family val="3"/>
      <b val="1"/>
      <color rgb="FFFFFFFF"/>
      <sz val="14"/>
    </font>
    <font>
      <name val="Calibri"/>
      <charset val="129"/>
      <family val="3"/>
      <color theme="1"/>
      <sz val="11"/>
      <scheme val="minor"/>
    </font>
    <font>
      <name val="맑은 고딕"/>
      <charset val="129"/>
      <family val="3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FDE9D9"/>
      </patternFill>
    </fill>
    <fill>
      <patternFill patternType="solid">
        <fgColor rgb="FFEAF2FF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3">
    <xf numFmtId="0" fontId="5" fillId="0" borderId="0"/>
    <xf numFmtId="0" fontId="5" fillId="0" borderId="0"/>
    <xf numFmtId="0" fontId="7" fillId="0" borderId="0"/>
  </cellStyleXfs>
  <cellXfs count="28">
    <xf numFmtId="0" fontId="0" fillId="0" borderId="0" pivotButton="0" quotePrefix="0" xfId="0"/>
    <xf numFmtId="0" fontId="2" fillId="4" borderId="1" pivotButton="0" quotePrefix="0" xfId="1"/>
    <xf numFmtId="0" fontId="0" fillId="0" borderId="1" pivotButton="0" quotePrefix="0" xfId="1"/>
    <xf numFmtId="0" fontId="2" fillId="5" borderId="1" pivotButton="0" quotePrefix="0" xfId="1"/>
    <xf numFmtId="0" fontId="2" fillId="4" borderId="1" applyAlignment="1" pivotButton="0" quotePrefix="0" xfId="1">
      <alignment horizontal="center"/>
    </xf>
    <xf numFmtId="0" fontId="2" fillId="4" borderId="1" applyAlignment="1" pivotButton="0" quotePrefix="0" xfId="1">
      <alignment horizontal="center" vertical="center"/>
    </xf>
    <xf numFmtId="0" fontId="0" fillId="6" borderId="1" pivotButton="0" quotePrefix="0" xfId="1"/>
    <xf numFmtId="1" fontId="0" fillId="6" borderId="1" pivotButton="0" quotePrefix="0" xfId="1"/>
    <xf numFmtId="0" fontId="3" fillId="7" borderId="1" pivotButton="0" quotePrefix="0" xfId="1"/>
    <xf numFmtId="0" fontId="0" fillId="7" borderId="1" pivotButton="0" quotePrefix="0" xfId="1"/>
    <xf numFmtId="1" fontId="0" fillId="7" borderId="1" pivotButton="0" quotePrefix="0" xfId="1"/>
    <xf numFmtId="0" fontId="4" fillId="8" borderId="1" pivotButton="0" quotePrefix="0" xfId="1"/>
    <xf numFmtId="0" fontId="4" fillId="5" borderId="1" pivotButton="0" quotePrefix="0" xfId="1"/>
    <xf numFmtId="0" fontId="2" fillId="4" borderId="0" pivotButton="0" quotePrefix="0" xfId="1"/>
    <xf numFmtId="0" fontId="7" fillId="0" borderId="1" pivotButton="0" quotePrefix="0" xfId="2"/>
    <xf numFmtId="0" fontId="0" fillId="0" borderId="0" pivotButton="0" quotePrefix="0" xfId="0"/>
    <xf numFmtId="0" fontId="0" fillId="0" borderId="1" applyAlignment="1" pivotButton="0" quotePrefix="0" xfId="1">
      <alignment vertical="top" wrapText="1"/>
    </xf>
    <xf numFmtId="0" fontId="0" fillId="0" borderId="1" pivotButton="0" quotePrefix="0" xfId="1"/>
    <xf numFmtId="0" fontId="0" fillId="0" borderId="2" pivotButton="0" quotePrefix="0" xfId="1"/>
    <xf numFmtId="0" fontId="0" fillId="0" borderId="3" pivotButton="0" quotePrefix="0" xfId="1"/>
    <xf numFmtId="0" fontId="2" fillId="3" borderId="0" pivotButton="0" quotePrefix="0" xfId="1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1">
      <alignment vertical="top" wrapText="1"/>
    </xf>
    <xf numFmtId="0" fontId="10" fillId="2" borderId="0" applyAlignment="1" pivotButton="0" quotePrefix="0" xfId="1">
      <alignment horizontal="center" vertical="center"/>
    </xf>
    <xf numFmtId="0" fontId="10" fillId="2" borderId="0" applyAlignment="1" pivotButton="0" quotePrefix="0" xfId="1">
      <alignment horizontal="center"/>
    </xf>
    <xf numFmtId="0" fontId="11" fillId="0" borderId="1" applyAlignment="1" pivotButton="0" quotePrefix="0" xfId="1">
      <alignment vertical="top" wrapText="1"/>
    </xf>
    <xf numFmtId="0" fontId="0" fillId="0" borderId="2" pivotButton="0" quotePrefix="0" xfId="0"/>
    <xf numFmtId="0" fontId="0" fillId="0" borderId="3" pivotButton="0" quotePrefix="0" xfId="0"/>
  </cellXfs>
  <cellStyles count="3">
    <cellStyle name="표준" xfId="0" builtinId="0"/>
    <cellStyle name="Normal" xfId="1"/>
    <cellStyle name="하이퍼링크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OpenAI</author>
  </authors>
  <commentList>
    <comment ref="M1" authorId="0" shapeId="0">
      <text>
        <t>발주권장수량 = 현재재고가 안전재고보다 적으면 MAX(MOQ, 부족수량)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liszzm@naver.com" TargetMode="External" Id="rId1" /><Relationship Type="http://schemas.openxmlformats.org/officeDocument/2006/relationships/hyperlink" Target="mailto:liszzm@naver.com" TargetMode="External" Id="rId2" /><Relationship Type="http://schemas.openxmlformats.org/officeDocument/2006/relationships/hyperlink" Target="mailto:liszzm@naver.com" TargetMode="External" Id="rId3" /><Relationship Type="http://schemas.openxmlformats.org/officeDocument/2006/relationships/hyperlink" Target="mailto:liszzm@naver.com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tabSelected="1" workbookViewId="0">
      <selection activeCell="C8" sqref="C8"/>
    </sheetView>
  </sheetViews>
  <sheetFormatPr baseColWidth="8" defaultRowHeight="14.5"/>
  <cols>
    <col width="23.81640625" customWidth="1" style="15" min="1" max="1"/>
    <col width="18" customWidth="1" style="15" min="2" max="2"/>
    <col width="15" customWidth="1" style="15" min="3" max="5"/>
    <col width="20" customWidth="1" style="15" min="6" max="6"/>
    <col width="18" customWidth="1" style="15" min="7" max="8"/>
  </cols>
  <sheetData>
    <row r="1" ht="28" customHeight="1" s="15">
      <c r="A1" s="23" t="inlineStr">
        <is>
          <t>도미노피자 재고·발주 자동화 패키지</t>
        </is>
      </c>
    </row>
    <row r="3">
      <c r="A3" s="20" t="inlineStr">
        <is>
          <t>패키지 사용 안내</t>
        </is>
      </c>
    </row>
    <row r="5">
      <c r="A5" s="1" t="inlineStr">
        <is>
          <t>실습 목표</t>
        </is>
      </c>
      <c r="B5" s="25" t="inlineStr">
        <is>
          <t>재고를 확인하고, 재고 부족 품목을 찾고, 담당자에게 알림을 보여준 뒤 발주서와 이메일 초안을 만드는 MVP를 구현합니다.</t>
        </is>
      </c>
      <c r="C5" s="26" t="n"/>
      <c r="D5" s="26" t="n"/>
      <c r="E5" s="26" t="n"/>
      <c r="F5" s="26" t="n"/>
      <c r="G5" s="26" t="n"/>
      <c r="H5" s="27" t="n"/>
    </row>
    <row r="6">
      <c r="A6" s="1" t="inlineStr">
        <is>
          <t>재고 부족 기준</t>
        </is>
      </c>
      <c r="B6" s="16" t="inlineStr">
        <is>
          <t>현재재고 &lt; 안전재고</t>
        </is>
      </c>
      <c r="C6" s="26" t="n"/>
      <c r="D6" s="26" t="n"/>
      <c r="E6" s="26" t="n"/>
      <c r="F6" s="26" t="n"/>
      <c r="G6" s="26" t="n"/>
      <c r="H6" s="27" t="n"/>
    </row>
    <row r="7">
      <c r="A7" s="1" t="inlineStr">
        <is>
          <t>발주 권장 수량</t>
        </is>
      </c>
      <c r="B7" s="16" t="inlineStr">
        <is>
          <t>현재재고가 안전재고보다 적으면 MAX(MOQ, 안전재고-현재재고)</t>
        </is>
      </c>
      <c r="C7" s="26" t="n"/>
      <c r="D7" s="26" t="n"/>
      <c r="E7" s="26" t="n"/>
      <c r="F7" s="26" t="n"/>
      <c r="G7" s="26" t="n"/>
      <c r="H7" s="27" t="n"/>
    </row>
    <row r="10">
      <c r="A10" s="20" t="inlineStr">
        <is>
          <t>재료 10개</t>
        </is>
      </c>
    </row>
    <row r="11">
      <c r="A11" s="17" t="n">
        <v>1</v>
      </c>
      <c r="B11" s="17" t="inlineStr">
        <is>
          <t>도우볼</t>
        </is>
      </c>
      <c r="D11" s="3" t="inlineStr">
        <is>
          <t>주의</t>
        </is>
      </c>
      <c r="E11" s="17" t="n"/>
      <c r="F11" s="26" t="n"/>
      <c r="G11" s="26" t="n"/>
      <c r="H11" s="27" t="n"/>
    </row>
    <row r="12">
      <c r="A12" s="17" t="n">
        <v>2</v>
      </c>
      <c r="B12" s="17" t="inlineStr">
        <is>
          <t>토마토소스</t>
        </is>
      </c>
    </row>
    <row r="13">
      <c r="A13" s="17" t="n">
        <v>3</v>
      </c>
      <c r="B13" s="17" t="inlineStr">
        <is>
          <t>모짜렐라치즈</t>
        </is>
      </c>
    </row>
    <row r="14">
      <c r="A14" s="17" t="n">
        <v>4</v>
      </c>
      <c r="B14" s="17" t="inlineStr">
        <is>
          <t>페퍼로니</t>
        </is>
      </c>
    </row>
    <row r="15">
      <c r="A15" s="17" t="n">
        <v>5</v>
      </c>
      <c r="B15" s="17" t="inlineStr">
        <is>
          <t>베이컨</t>
        </is>
      </c>
    </row>
    <row r="16">
      <c r="A16" s="17" t="n">
        <v>6</v>
      </c>
      <c r="B16" s="17" t="inlineStr">
        <is>
          <t>양파</t>
        </is>
      </c>
    </row>
    <row r="17">
      <c r="A17" s="17" t="n">
        <v>7</v>
      </c>
      <c r="B17" s="17" t="inlineStr">
        <is>
          <t>피망</t>
        </is>
      </c>
    </row>
    <row r="18">
      <c r="A18" s="17" t="n">
        <v>8</v>
      </c>
      <c r="B18" s="17" t="inlineStr">
        <is>
          <t>양송이버섯</t>
        </is>
      </c>
    </row>
    <row r="19">
      <c r="A19" s="17" t="n">
        <v>9</v>
      </c>
      <c r="B19" s="17" t="inlineStr">
        <is>
          <t>블랙올리브</t>
        </is>
      </c>
    </row>
    <row r="20">
      <c r="A20" s="17" t="n">
        <v>10</v>
      </c>
      <c r="B20" s="17" t="inlineStr">
        <is>
          <t>스위트콘</t>
        </is>
      </c>
    </row>
  </sheetData>
  <mergeCells count="7">
    <mergeCell ref="A3:H3"/>
    <mergeCell ref="A10:H10"/>
    <mergeCell ref="B6:H6"/>
    <mergeCell ref="B7:H7"/>
    <mergeCell ref="A1:H1"/>
    <mergeCell ref="E11:H11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E40" sqref="E40"/>
    </sheetView>
  </sheetViews>
  <sheetFormatPr baseColWidth="8" defaultRowHeight="14.5"/>
  <cols>
    <col width="22" customWidth="1" style="15" min="1" max="1"/>
    <col width="12" customWidth="1" style="15" min="2" max="2"/>
    <col width="28" customWidth="1" style="15" min="3" max="3"/>
    <col width="12" customWidth="1" style="15" min="4" max="4"/>
    <col width="16" customWidth="1" style="15" min="5" max="5"/>
  </cols>
  <sheetData>
    <row r="1">
      <c r="A1" s="4" t="inlineStr">
        <is>
          <t>거래처명</t>
        </is>
      </c>
      <c r="B1" s="4" t="inlineStr">
        <is>
          <t>담당자</t>
        </is>
      </c>
      <c r="C1" s="4" t="inlineStr">
        <is>
          <t>이메일</t>
        </is>
      </c>
      <c r="D1" s="4" t="inlineStr">
        <is>
          <t>리드타임(일)</t>
        </is>
      </c>
      <c r="E1" s="4" t="inlineStr">
        <is>
          <t>품목군</t>
        </is>
      </c>
    </row>
    <row r="2">
      <c r="A2" s="17" t="inlineStr">
        <is>
          <t>도미노푸드서플라이</t>
        </is>
      </c>
      <c r="B2" s="17" t="inlineStr">
        <is>
          <t>박지훈</t>
        </is>
      </c>
      <c r="C2" s="14" t="inlineStr">
        <is>
          <t>jes2412@naver.com</t>
        </is>
      </c>
      <c r="D2" s="17" t="n">
        <v>2</v>
      </c>
      <c r="E2" s="17" t="inlineStr">
        <is>
          <t>도우/소스/치즈</t>
        </is>
      </c>
    </row>
    <row r="3">
      <c r="A3" s="17" t="inlineStr">
        <is>
          <t>프레시미트코리아</t>
        </is>
      </c>
      <c r="B3" s="17" t="inlineStr">
        <is>
          <t>김현우</t>
        </is>
      </c>
      <c r="C3" s="14" t="inlineStr">
        <is>
          <t>jes2412@naver.com</t>
        </is>
      </c>
      <c r="D3" s="17" t="n">
        <v>3</v>
      </c>
      <c r="E3" s="17" t="inlineStr">
        <is>
          <t>페퍼로니/베이컨</t>
        </is>
      </c>
    </row>
    <row r="4">
      <c r="A4" s="17" t="inlineStr">
        <is>
          <t>그린베지유통</t>
        </is>
      </c>
      <c r="B4" s="17" t="inlineStr">
        <is>
          <t>이수진</t>
        </is>
      </c>
      <c r="C4" s="14" t="inlineStr">
        <is>
          <t>jes2412@naver.com</t>
        </is>
      </c>
      <c r="D4" s="17" t="n">
        <v>1</v>
      </c>
      <c r="E4" s="17" t="inlineStr">
        <is>
          <t>양파/피망/버섯</t>
        </is>
      </c>
    </row>
    <row r="5">
      <c r="A5" s="17" t="inlineStr">
        <is>
          <t>토핑솔루션</t>
        </is>
      </c>
      <c r="B5" s="17" t="inlineStr">
        <is>
          <t>정민아</t>
        </is>
      </c>
      <c r="C5" s="14" t="inlineStr">
        <is>
          <t>jes2412@naver.com</t>
        </is>
      </c>
      <c r="D5" s="17" t="n">
        <v>2</v>
      </c>
      <c r="E5" s="17" t="inlineStr">
        <is>
          <t>올리브/콘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selection activeCell="K10" sqref="K10"/>
    </sheetView>
  </sheetViews>
  <sheetFormatPr baseColWidth="8" defaultRowHeight="14.5"/>
  <cols>
    <col width="12" customWidth="1" style="15" min="1" max="1"/>
    <col width="16" customWidth="1" style="15" min="2" max="2"/>
    <col width="12" customWidth="1" style="15" min="3" max="3"/>
    <col width="8" customWidth="1" style="15" min="4" max="4"/>
    <col width="10" customWidth="1" style="15" min="5" max="7"/>
    <col width="20" customWidth="1" style="15" min="8" max="8"/>
    <col width="16" customWidth="1" style="15" min="9" max="9"/>
    <col width="28" customWidth="1" style="15" min="10" max="10"/>
    <col width="12" customWidth="1" style="15" min="11" max="11"/>
    <col width="10" customWidth="1" style="15" min="12" max="12"/>
    <col width="12" customWidth="1" style="15" min="13" max="13"/>
    <col width="10" customWidth="1" style="15" min="14" max="14"/>
    <col width="62.81640625" bestFit="1" customWidth="1" style="15" min="15" max="15"/>
  </cols>
  <sheetData>
    <row r="1">
      <c r="A1" s="5" t="inlineStr">
        <is>
          <t>품목코드</t>
        </is>
      </c>
      <c r="B1" s="5" t="inlineStr">
        <is>
          <t>재료명</t>
        </is>
      </c>
      <c r="C1" s="5" t="inlineStr">
        <is>
          <t>규격</t>
        </is>
      </c>
      <c r="D1" s="5" t="inlineStr">
        <is>
          <t>단위</t>
        </is>
      </c>
      <c r="E1" s="5" t="inlineStr">
        <is>
          <t>현재재고</t>
        </is>
      </c>
      <c r="F1" s="5" t="inlineStr">
        <is>
          <t>안전재고</t>
        </is>
      </c>
      <c r="G1" s="5" t="inlineStr">
        <is>
          <t>MOQ</t>
        </is>
      </c>
      <c r="H1" s="5" t="inlineStr">
        <is>
          <t>거래처</t>
        </is>
      </c>
      <c r="I1" s="5" t="inlineStr">
        <is>
          <t>알림담당자</t>
        </is>
      </c>
      <c r="J1" s="5" t="inlineStr">
        <is>
          <t>거래처이메일</t>
        </is>
      </c>
      <c r="K1" s="5" t="inlineStr">
        <is>
          <t>리드타임(일)</t>
        </is>
      </c>
      <c r="L1" s="5" t="inlineStr">
        <is>
          <t>부족수량</t>
        </is>
      </c>
      <c r="M1" s="5" t="inlineStr">
        <is>
          <t>발주권장수량</t>
        </is>
      </c>
      <c r="N1" s="5" t="inlineStr">
        <is>
          <t>상태</t>
        </is>
      </c>
      <c r="O1" s="5" t="inlineStr">
        <is>
          <t>담당자알림메시지</t>
        </is>
      </c>
    </row>
    <row r="2">
      <c r="A2" s="6" t="inlineStr">
        <is>
          <t>ING001</t>
        </is>
      </c>
      <c r="B2" s="6" t="inlineStr">
        <is>
          <t>도우볼</t>
        </is>
      </c>
      <c r="C2" s="6" t="inlineStr">
        <is>
          <t>220g</t>
        </is>
      </c>
      <c r="D2" s="6" t="inlineStr">
        <is>
          <t>개</t>
        </is>
      </c>
      <c r="E2" s="7" t="n">
        <v>120</v>
      </c>
      <c r="F2" s="7" t="n">
        <v>180</v>
      </c>
      <c r="G2" s="7" t="n">
        <v>100</v>
      </c>
      <c r="H2" s="6" t="inlineStr">
        <is>
          <t>도미노푸드서플라이</t>
        </is>
      </c>
      <c r="I2" s="6" t="inlineStr">
        <is>
          <t>점포 운영매니저</t>
        </is>
      </c>
      <c r="J2" s="8" t="inlineStr">
        <is>
          <t>jes2412@naver.com</t>
        </is>
      </c>
      <c r="K2" s="9">
        <f>VLOOKUP(H2,Suppliers!$A$2:$E$10,4,FALSE)</f>
        <v/>
      </c>
      <c r="L2" s="10">
        <f>MAX(F2-E2,0)</f>
        <v/>
      </c>
      <c r="M2" s="10">
        <f>IF(E2&lt;F2,MAX(G2,L2),0)</f>
        <v/>
      </c>
      <c r="N2" s="9">
        <f>IF(E2&lt;F2,"발주 필요","정상")</f>
        <v/>
      </c>
      <c r="O2" s="9">
        <f>IF(N2="발주 필요",B2&amp;" 재고 부족 - 현재 "&amp;TEXT(E2,"0")&amp;D2&amp;", 안전재고 "&amp;TEXT(F2,"0")&amp;D2&amp;", 권장발주 "&amp;TEXT(M2,"0")&amp;D2,"")</f>
        <v/>
      </c>
    </row>
    <row r="3">
      <c r="A3" s="6" t="inlineStr">
        <is>
          <t>ING002</t>
        </is>
      </c>
      <c r="B3" s="6" t="inlineStr">
        <is>
          <t>토마토소스</t>
        </is>
      </c>
      <c r="C3" s="6" t="inlineStr">
        <is>
          <t>3kg</t>
        </is>
      </c>
      <c r="D3" s="6" t="inlineStr">
        <is>
          <t>팩</t>
        </is>
      </c>
      <c r="E3" s="7" t="n">
        <v>32</v>
      </c>
      <c r="F3" s="7" t="n">
        <v>20</v>
      </c>
      <c r="G3" s="7" t="n">
        <v>10</v>
      </c>
      <c r="H3" s="6" t="inlineStr">
        <is>
          <t>도미노푸드서플라이</t>
        </is>
      </c>
      <c r="I3" s="6" t="inlineStr">
        <is>
          <t>점포 운영매니저</t>
        </is>
      </c>
      <c r="J3" s="8" t="inlineStr">
        <is>
          <t>jes2412@naver.com</t>
        </is>
      </c>
      <c r="K3" s="9">
        <f>VLOOKUP(H3,Suppliers!$A$2:$E$10,4,FALSE)</f>
        <v/>
      </c>
      <c r="L3" s="10">
        <f>MAX(F3-E3,0)</f>
        <v/>
      </c>
      <c r="M3" s="10">
        <f>IF(E3&lt;F3,MAX(G3,L3),0)</f>
        <v/>
      </c>
      <c r="N3" s="9">
        <f>IF(E3&lt;F3,"발주 필요","정상")</f>
        <v/>
      </c>
      <c r="O3" s="9">
        <f>IF(N3="발주 필요",B3&amp;" 재고 부족 - 현재 "&amp;TEXT(E3,"0")&amp;D3&amp;", 안전재고 "&amp;TEXT(F3,"0")&amp;D3&amp;", 권장발주 "&amp;TEXT(M3,"0")&amp;D3,"")</f>
        <v/>
      </c>
    </row>
    <row r="4">
      <c r="A4" s="6" t="inlineStr">
        <is>
          <t>ING003</t>
        </is>
      </c>
      <c r="B4" s="6" t="inlineStr">
        <is>
          <t>모짜렐라치즈</t>
        </is>
      </c>
      <c r="C4" s="6" t="inlineStr">
        <is>
          <t>2kg</t>
        </is>
      </c>
      <c r="D4" s="6" t="inlineStr">
        <is>
          <t>봉</t>
        </is>
      </c>
      <c r="E4" s="7" t="n">
        <v>12</v>
      </c>
      <c r="F4" s="7" t="n">
        <v>18</v>
      </c>
      <c r="G4" s="7" t="n">
        <v>10</v>
      </c>
      <c r="H4" s="6" t="inlineStr">
        <is>
          <t>도미노푸드서플라이</t>
        </is>
      </c>
      <c r="I4" s="6" t="inlineStr">
        <is>
          <t>점포 운영매니저</t>
        </is>
      </c>
      <c r="J4" s="8" t="inlineStr">
        <is>
          <t>jes2412@naver.com</t>
        </is>
      </c>
      <c r="K4" s="9">
        <f>VLOOKUP(H4,Suppliers!$A$2:$E$10,4,FALSE)</f>
        <v/>
      </c>
      <c r="L4" s="10">
        <f>MAX(F4-E4,0)</f>
        <v/>
      </c>
      <c r="M4" s="10">
        <f>IF(E4&lt;F4,MAX(G4,L4),0)</f>
        <v/>
      </c>
      <c r="N4" s="9">
        <f>IF(E4&lt;F4,"발주 필요","정상")</f>
        <v/>
      </c>
      <c r="O4" s="9">
        <f>IF(N4="발주 필요",B4&amp;" 재고 부족 - 현재 "&amp;TEXT(E4,"0")&amp;D4&amp;", 안전재고 "&amp;TEXT(F4,"0")&amp;D4&amp;", 권장발주 "&amp;TEXT(M4,"0")&amp;D4,"")</f>
        <v/>
      </c>
    </row>
    <row r="5">
      <c r="A5" s="6" t="inlineStr">
        <is>
          <t>ING004</t>
        </is>
      </c>
      <c r="B5" s="6" t="inlineStr">
        <is>
          <t>페퍼로니</t>
        </is>
      </c>
      <c r="C5" s="6" t="inlineStr">
        <is>
          <t>1kg</t>
        </is>
      </c>
      <c r="D5" s="6" t="inlineStr">
        <is>
          <t>팩</t>
        </is>
      </c>
      <c r="E5" s="7" t="n">
        <v>15</v>
      </c>
      <c r="F5" s="7" t="n">
        <v>12</v>
      </c>
      <c r="G5" s="7" t="n">
        <v>8</v>
      </c>
      <c r="H5" s="6" t="inlineStr">
        <is>
          <t>프레시미트코리아</t>
        </is>
      </c>
      <c r="I5" s="6" t="inlineStr">
        <is>
          <t>점포 운영매니저</t>
        </is>
      </c>
      <c r="J5" s="8" t="inlineStr">
        <is>
          <t>jes2412@naver.com</t>
        </is>
      </c>
      <c r="K5" s="9">
        <f>VLOOKUP(H5,Suppliers!$A$2:$E$10,4,FALSE)</f>
        <v/>
      </c>
      <c r="L5" s="10">
        <f>MAX(F5-E5,0)</f>
        <v/>
      </c>
      <c r="M5" s="10">
        <f>IF(E5&lt;F5,MAX(G5,L5),0)</f>
        <v/>
      </c>
      <c r="N5" s="9">
        <f>IF(E5&lt;F5,"발주 필요","정상")</f>
        <v/>
      </c>
      <c r="O5" s="9">
        <f>IF(N5="발주 필요",B5&amp;" 재고 부족 - 현재 "&amp;TEXT(E5,"0")&amp;D5&amp;", 안전재고 "&amp;TEXT(F5,"0")&amp;D5&amp;", 권장발주 "&amp;TEXT(M5,"0")&amp;D5,"")</f>
        <v/>
      </c>
    </row>
    <row r="6">
      <c r="A6" s="6" t="inlineStr">
        <is>
          <t>ING005</t>
        </is>
      </c>
      <c r="B6" s="6" t="inlineStr">
        <is>
          <t>베이컨</t>
        </is>
      </c>
      <c r="C6" s="6" t="inlineStr">
        <is>
          <t>1kg</t>
        </is>
      </c>
      <c r="D6" s="6" t="inlineStr">
        <is>
          <t>팩</t>
        </is>
      </c>
      <c r="E6" s="7" t="n">
        <v>6</v>
      </c>
      <c r="F6" s="7" t="n">
        <v>10</v>
      </c>
      <c r="G6" s="7" t="n">
        <v>10</v>
      </c>
      <c r="H6" s="6" t="inlineStr">
        <is>
          <t>프레시미트코리아</t>
        </is>
      </c>
      <c r="I6" s="6" t="inlineStr">
        <is>
          <t>점포 운영매니저</t>
        </is>
      </c>
      <c r="J6" s="8" t="inlineStr">
        <is>
          <t>jes2412@naver.com</t>
        </is>
      </c>
      <c r="K6" s="9">
        <f>VLOOKUP(H6,Suppliers!$A$2:$E$10,4,FALSE)</f>
        <v/>
      </c>
      <c r="L6" s="10">
        <f>MAX(F6-E6,0)</f>
        <v/>
      </c>
      <c r="M6" s="10">
        <f>IF(E6&lt;F6,MAX(G6,L6),0)</f>
        <v/>
      </c>
      <c r="N6" s="9">
        <f>IF(E6&lt;F6,"발주 필요","정상")</f>
        <v/>
      </c>
      <c r="O6" s="9">
        <f>IF(N6="발주 필요",B6&amp;" 재고 부족 - 현재 "&amp;TEXT(E6,"0")&amp;D6&amp;", 안전재고 "&amp;TEXT(F6,"0")&amp;D6&amp;", 권장발주 "&amp;TEXT(M6,"0")&amp;D6,"")</f>
        <v/>
      </c>
    </row>
    <row r="7">
      <c r="A7" s="6" t="inlineStr">
        <is>
          <t>ING006</t>
        </is>
      </c>
      <c r="B7" s="6" t="inlineStr">
        <is>
          <t>양파</t>
        </is>
      </c>
      <c r="C7" s="6" t="inlineStr">
        <is>
          <t>5kg</t>
        </is>
      </c>
      <c r="D7" s="6" t="inlineStr">
        <is>
          <t>봉</t>
        </is>
      </c>
      <c r="E7" s="7" t="n">
        <v>14</v>
      </c>
      <c r="F7" s="7" t="n">
        <v>12</v>
      </c>
      <c r="G7" s="7" t="n">
        <v>6</v>
      </c>
      <c r="H7" s="6" t="inlineStr">
        <is>
          <t>그린베지유통</t>
        </is>
      </c>
      <c r="I7" s="6" t="inlineStr">
        <is>
          <t>점포 운영매니저</t>
        </is>
      </c>
      <c r="J7" s="8" t="inlineStr">
        <is>
          <t>jes2412@naver.com</t>
        </is>
      </c>
      <c r="K7" s="9">
        <f>VLOOKUP(H7,Suppliers!$A$2:$E$10,4,FALSE)</f>
        <v/>
      </c>
      <c r="L7" s="10">
        <f>MAX(F7-E7,0)</f>
        <v/>
      </c>
      <c r="M7" s="10">
        <f>IF(E7&lt;F7,MAX(G7,L7),0)</f>
        <v/>
      </c>
      <c r="N7" s="9">
        <f>IF(E7&lt;F7,"발주 필요","정상")</f>
        <v/>
      </c>
      <c r="O7" s="9">
        <f>IF(N7="발주 필요",B7&amp;" 재고 부족 - 현재 "&amp;TEXT(E7,"0")&amp;D7&amp;", 안전재고 "&amp;TEXT(F7,"0")&amp;D7&amp;", 권장발주 "&amp;TEXT(M7,"0")&amp;D7,"")</f>
        <v/>
      </c>
    </row>
    <row r="8">
      <c r="A8" s="6" t="inlineStr">
        <is>
          <t>ING007</t>
        </is>
      </c>
      <c r="B8" s="6" t="inlineStr">
        <is>
          <t>피망</t>
        </is>
      </c>
      <c r="C8" s="6" t="inlineStr">
        <is>
          <t>5kg</t>
        </is>
      </c>
      <c r="D8" s="6" t="inlineStr">
        <is>
          <t>봉</t>
        </is>
      </c>
      <c r="E8" s="7" t="n">
        <v>5</v>
      </c>
      <c r="F8" s="7" t="n">
        <v>8</v>
      </c>
      <c r="G8" s="7" t="n">
        <v>5</v>
      </c>
      <c r="H8" s="6" t="inlineStr">
        <is>
          <t>그린베지유통</t>
        </is>
      </c>
      <c r="I8" s="6" t="inlineStr">
        <is>
          <t>점포 운영매니저</t>
        </is>
      </c>
      <c r="J8" s="8" t="inlineStr">
        <is>
          <t>jes2412@naver.com</t>
        </is>
      </c>
      <c r="K8" s="9">
        <f>VLOOKUP(H8,Suppliers!$A$2:$E$10,4,FALSE)</f>
        <v/>
      </c>
      <c r="L8" s="10">
        <f>MAX(F8-E8,0)</f>
        <v/>
      </c>
      <c r="M8" s="10">
        <f>IF(E8&lt;F8,MAX(G8,L8),0)</f>
        <v/>
      </c>
      <c r="N8" s="9">
        <f>IF(E8&lt;F8,"발주 필요","정상")</f>
        <v/>
      </c>
      <c r="O8" s="9">
        <f>IF(N8="발주 필요",B8&amp;" 재고 부족 - 현재 "&amp;TEXT(E8,"0")&amp;D8&amp;", 안전재고 "&amp;TEXT(F8,"0")&amp;D8&amp;", 권장발주 "&amp;TEXT(M8,"0")&amp;D8,"")</f>
        <v/>
      </c>
    </row>
    <row r="9">
      <c r="A9" s="6" t="inlineStr">
        <is>
          <t>ING008</t>
        </is>
      </c>
      <c r="B9" s="6" t="inlineStr">
        <is>
          <t>양송이버섯</t>
        </is>
      </c>
      <c r="C9" s="6" t="inlineStr">
        <is>
          <t>2.5kg</t>
        </is>
      </c>
      <c r="D9" s="6" t="inlineStr">
        <is>
          <t>캔</t>
        </is>
      </c>
      <c r="E9" s="7" t="n">
        <v>3</v>
      </c>
      <c r="F9" s="7" t="n">
        <v>6</v>
      </c>
      <c r="G9" s="7" t="n">
        <v>6</v>
      </c>
      <c r="H9" s="6" t="inlineStr">
        <is>
          <t>그린베지유통</t>
        </is>
      </c>
      <c r="I9" s="6" t="inlineStr">
        <is>
          <t>점포 운영매니저</t>
        </is>
      </c>
      <c r="J9" s="8" t="inlineStr">
        <is>
          <t>jes2412@naver.com</t>
        </is>
      </c>
      <c r="K9" s="9">
        <f>VLOOKUP(H9,Suppliers!$A$2:$E$10,4,FALSE)</f>
        <v/>
      </c>
      <c r="L9" s="10">
        <f>MAX(F9-E9,0)</f>
        <v/>
      </c>
      <c r="M9" s="10">
        <f>IF(E9&lt;F9,MAX(G9,L9),0)</f>
        <v/>
      </c>
      <c r="N9" s="9">
        <f>IF(E9&lt;F9,"발주 필요","정상")</f>
        <v/>
      </c>
      <c r="O9" s="9">
        <f>IF(N9="발주 필요",B9&amp;" 재고 부족 - 현재 "&amp;TEXT(E9,"0")&amp;D9&amp;", 안전재고 "&amp;TEXT(F9,"0")&amp;D9&amp;", 권장발주 "&amp;TEXT(M9,"0")&amp;D9,"")</f>
        <v/>
      </c>
    </row>
    <row r="10">
      <c r="A10" s="6" t="inlineStr">
        <is>
          <t>ING009</t>
        </is>
      </c>
      <c r="B10" s="6" t="inlineStr">
        <is>
          <t>블랙올리브</t>
        </is>
      </c>
      <c r="C10" s="6" t="inlineStr">
        <is>
          <t>3kg</t>
        </is>
      </c>
      <c r="D10" s="6" t="inlineStr">
        <is>
          <t>캔</t>
        </is>
      </c>
      <c r="E10" s="7" t="n">
        <v>9</v>
      </c>
      <c r="F10" s="7" t="n">
        <v>8</v>
      </c>
      <c r="G10" s="7" t="n">
        <v>4</v>
      </c>
      <c r="H10" s="6" t="inlineStr">
        <is>
          <t>토핑솔루션</t>
        </is>
      </c>
      <c r="I10" s="6" t="inlineStr">
        <is>
          <t>점포 운영매니저</t>
        </is>
      </c>
      <c r="J10" s="8" t="inlineStr">
        <is>
          <t>jes2412@naver.com</t>
        </is>
      </c>
      <c r="K10" s="9">
        <f>VLOOKUP(H10,Suppliers!$A$2:$E$10,4,FALSE)</f>
        <v/>
      </c>
      <c r="L10" s="10">
        <f>MAX(F10-E10,0)</f>
        <v/>
      </c>
      <c r="M10" s="10">
        <f>IF(E10&lt;F10,MAX(G10,L10),0)</f>
        <v/>
      </c>
      <c r="N10" s="9">
        <f>IF(E10&lt;F10,"발주 필요","정상")</f>
        <v/>
      </c>
      <c r="O10" s="9">
        <f>IF(N10="발주 필요",B10&amp;" 재고 부족 - 현재 "&amp;TEXT(E10,"0")&amp;D10&amp;", 안전재고 "&amp;TEXT(F10,"0")&amp;D10&amp;", 권장발주 "&amp;TEXT(M10,"0")&amp;D10,"")</f>
        <v/>
      </c>
    </row>
    <row r="11">
      <c r="A11" s="6" t="inlineStr">
        <is>
          <t>ING010</t>
        </is>
      </c>
      <c r="B11" s="6" t="inlineStr">
        <is>
          <t>스위트콘</t>
        </is>
      </c>
      <c r="C11" s="6" t="inlineStr">
        <is>
          <t>3kg</t>
        </is>
      </c>
      <c r="D11" s="6" t="inlineStr">
        <is>
          <t>캔</t>
        </is>
      </c>
      <c r="E11" s="7" t="n">
        <v>4</v>
      </c>
      <c r="F11" s="7" t="n">
        <v>5</v>
      </c>
      <c r="G11" s="7" t="n">
        <v>6</v>
      </c>
      <c r="H11" s="6" t="inlineStr">
        <is>
          <t>토핑솔루션</t>
        </is>
      </c>
      <c r="I11" s="6" t="inlineStr">
        <is>
          <t>점포 운영매니저</t>
        </is>
      </c>
      <c r="J11" s="8" t="inlineStr">
        <is>
          <t>jes2412@naver.com</t>
        </is>
      </c>
      <c r="K11" s="9">
        <f>VLOOKUP(H11,Suppliers!$A$2:$E$10,4,FALSE)</f>
        <v/>
      </c>
      <c r="L11" s="10">
        <f>MAX(F11-E11,0)</f>
        <v/>
      </c>
      <c r="M11" s="10">
        <f>IF(E11&lt;F11,MAX(G11,L11),0)</f>
        <v/>
      </c>
      <c r="N11" s="9">
        <f>IF(E11&lt;F11,"발주 필요","정상")</f>
        <v/>
      </c>
      <c r="O11" s="9">
        <f>IF(N11="발주 필요",B11&amp;" 재고 부족 - 현재 "&amp;TEXT(E11,"0")&amp;D11&amp;", 안전재고 "&amp;TEXT(F11,"0")&amp;D11&amp;", 권장발주 "&amp;TEXT(M11,"0")&amp;D11,"")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2" sqref="A2"/>
    </sheetView>
  </sheetViews>
  <sheetFormatPr baseColWidth="8" defaultRowHeight="14.5"/>
  <cols>
    <col width="22" customWidth="1" style="15" min="1" max="1"/>
    <col width="16" customWidth="1" style="15" min="2" max="3"/>
    <col width="28" customWidth="1" style="15" min="4" max="4"/>
    <col width="12" customWidth="1" style="15" min="5" max="8"/>
  </cols>
  <sheetData>
    <row r="1" ht="28" customHeight="1" s="15">
      <c r="A1" s="24" t="inlineStr">
        <is>
          <t>도미노피자 발주 요약</t>
        </is>
      </c>
    </row>
    <row r="3">
      <c r="A3" s="1" t="inlineStr">
        <is>
          <t>총 품목 수</t>
        </is>
      </c>
      <c r="B3" s="11">
        <f>COUNTA(Inventory!A2:A11)</f>
        <v/>
      </c>
    </row>
    <row r="4">
      <c r="A4" s="1" t="inlineStr">
        <is>
          <t>발주 필요 품목 수</t>
        </is>
      </c>
      <c r="B4" s="11">
        <f>COUNTIF(Inventory!N2:N11,"발주 필요")</f>
        <v/>
      </c>
    </row>
    <row r="5">
      <c r="A5" s="1" t="inlineStr">
        <is>
          <t>전체 권장 발주 수량</t>
        </is>
      </c>
      <c r="B5" s="11">
        <f>SUM(Inventory!M2:M11)</f>
        <v/>
      </c>
    </row>
    <row r="6">
      <c r="A6" s="1" t="inlineStr">
        <is>
          <t>오늘 상태</t>
        </is>
      </c>
      <c r="B6" s="12">
        <f>IF(B4&gt;0,"담당자 확인 필요","정상")</f>
        <v/>
      </c>
    </row>
    <row r="8">
      <c r="A8" s="20" t="inlineStr">
        <is>
          <t>거래처별 발주 필요 현황</t>
        </is>
      </c>
    </row>
    <row r="10">
      <c r="A10" s="1" t="inlineStr">
        <is>
          <t>거래처명</t>
        </is>
      </c>
      <c r="B10" s="1" t="inlineStr">
        <is>
          <t>발주 필요 품목 수</t>
        </is>
      </c>
      <c r="C10" s="1" t="inlineStr">
        <is>
          <t>총 권장 발주 수량</t>
        </is>
      </c>
      <c r="D10" s="1" t="inlineStr">
        <is>
          <t>담당자 이메일</t>
        </is>
      </c>
      <c r="E10" s="1" t="inlineStr">
        <is>
          <t>리드타임(일)</t>
        </is>
      </c>
    </row>
    <row r="11">
      <c r="A11" s="17" t="inlineStr">
        <is>
          <t>도미노푸드서플라이</t>
        </is>
      </c>
      <c r="B11" s="17">
        <f>COUNTIFS(Inventory!$H$2:$H$11,A11,Inventory!$N$2:$N$11,"발주 필요")</f>
        <v/>
      </c>
      <c r="C11" s="17">
        <f>SUMIFS(Inventory!$M$2:$M$11,Inventory!$H$2:$H$11,A11,Inventory!$N$2:$N$11,"발주 필요")</f>
        <v/>
      </c>
      <c r="D11" s="17">
        <f>VLOOKUP(A11,Suppliers!$A$2:$E$10,3,FALSE)</f>
        <v/>
      </c>
      <c r="E11" s="17">
        <f>VLOOKUP(A11,Suppliers!$A$2:$E$10,4,FALSE)</f>
        <v/>
      </c>
    </row>
    <row r="12">
      <c r="A12" s="17" t="inlineStr">
        <is>
          <t>프레시미트코리아</t>
        </is>
      </c>
      <c r="B12" s="17">
        <f>COUNTIFS(Inventory!$H$2:$H$11,A12,Inventory!$N$2:$N$11,"발주 필요")</f>
        <v/>
      </c>
      <c r="C12" s="17">
        <f>SUMIFS(Inventory!$M$2:$M$11,Inventory!$H$2:$H$11,A12,Inventory!$N$2:$N$11,"발주 필요")</f>
        <v/>
      </c>
      <c r="D12" s="17">
        <f>VLOOKUP(A12,Suppliers!$A$2:$E$10,3,FALSE)</f>
        <v/>
      </c>
      <c r="E12" s="17">
        <f>VLOOKUP(A12,Suppliers!$A$2:$E$10,4,FALSE)</f>
        <v/>
      </c>
    </row>
    <row r="13">
      <c r="A13" s="17" t="inlineStr">
        <is>
          <t>그린베지유통</t>
        </is>
      </c>
      <c r="B13" s="17">
        <f>COUNTIFS(Inventory!$H$2:$H$11,A13,Inventory!$N$2:$N$11,"발주 필요")</f>
        <v/>
      </c>
      <c r="C13" s="17">
        <f>SUMIFS(Inventory!$M$2:$M$11,Inventory!$H$2:$H$11,A13,Inventory!$N$2:$N$11,"발주 필요")</f>
        <v/>
      </c>
      <c r="D13" s="17">
        <f>VLOOKUP(A13,Suppliers!$A$2:$E$10,3,FALSE)</f>
        <v/>
      </c>
      <c r="E13" s="17">
        <f>VLOOKUP(A13,Suppliers!$A$2:$E$10,4,FALSE)</f>
        <v/>
      </c>
    </row>
    <row r="14">
      <c r="A14" s="17" t="inlineStr">
        <is>
          <t>토핑솔루션</t>
        </is>
      </c>
      <c r="B14" s="17">
        <f>COUNTIFS(Inventory!$H$2:$H$11,A14,Inventory!$N$2:$N$11,"발주 필요")</f>
        <v/>
      </c>
      <c r="C14" s="17">
        <f>SUMIFS(Inventory!$M$2:$M$11,Inventory!$H$2:$H$11,A14,Inventory!$N$2:$N$11,"발주 필요")</f>
        <v/>
      </c>
      <c r="D14" s="17">
        <f>VLOOKUP(A14,Suppliers!$A$2:$E$10,3,FALSE)</f>
        <v/>
      </c>
      <c r="E14" s="17">
        <f>VLOOKUP(A14,Suppliers!$A$2:$E$10,4,FALSE)</f>
        <v/>
      </c>
    </row>
  </sheetData>
  <mergeCells count="2">
    <mergeCell ref="A8:H8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:F1"/>
    </sheetView>
  </sheetViews>
  <sheetFormatPr baseColWidth="8" defaultRowHeight="14.5"/>
  <cols>
    <col width="16" customWidth="1" style="15" min="1" max="1"/>
    <col width="24" customWidth="1" style="15" min="2" max="2"/>
    <col width="18" customWidth="1" style="15" min="3" max="6"/>
  </cols>
  <sheetData>
    <row r="1" ht="18.5" customHeight="1" s="15">
      <c r="A1" s="21" t="inlineStr">
        <is>
          <t>발주 이메일 템플릿</t>
        </is>
      </c>
    </row>
    <row r="3">
      <c r="A3" s="13" t="inlineStr">
        <is>
          <t>제목 템플릿</t>
        </is>
      </c>
      <c r="B3" t="inlineStr">
        <is>
          <t>[발주요청] {{STORE_NAME}} / {{SUPPLIER_NAME}} / {{ORDER_DATE}}</t>
        </is>
      </c>
    </row>
    <row r="5" ht="120" customHeight="1" s="15">
      <c r="A5" s="13" t="inlineStr">
        <is>
          <t>본문 템플릿</t>
        </is>
      </c>
      <c r="B5" s="22" t="inlineStr">
        <is>
          <t>안녕하세요 {{SUPPLIER_NAME}} 담당자님.
도미노피자 {{STORE_NAME}}입니다.
아래 품목에 대해 발주 요청드립니다.
{{ITEM_LIST}}
첨부한 발주서 확인 부탁드립니다.
감사합니다.
{{INTERNAL_OWNER}}</t>
        </is>
      </c>
    </row>
    <row r="6"/>
    <row r="7"/>
    <row r="8"/>
    <row r="9"/>
    <row r="10"/>
    <row r="11"/>
    <row r="12"/>
  </sheetData>
  <mergeCells count="3">
    <mergeCell ref="B5:F12"/>
    <mergeCell ref="A1:F1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2026-03-12T00:39:29Z</dcterms:created>
  <dcterms:modified xsi:type="dcterms:W3CDTF">2026-03-12T00:39:55Z</dcterms:modified>
  <cp:lastModifiedBy>이인섭</cp:lastModifiedBy>
</cp:coreProperties>
</file>